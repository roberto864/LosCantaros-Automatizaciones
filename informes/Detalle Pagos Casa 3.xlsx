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a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6A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7" customWidth="1" min="5" max="5"/>
    <col width="22" customWidth="1" min="6" max="6"/>
  </cols>
  <sheetData>
    <row r="1">
      <c r="A1" s="1" t="inlineStr">
        <is>
          <t>Casa 3 - María Francisca Espinoza Westermeyer - Pagos 2024-2026</t>
        </is>
      </c>
    </row>
    <row r="3">
      <c r="A3" s="2" t="inlineStr">
        <is>
          <t>Fecha</t>
        </is>
      </c>
      <c r="B3" s="2" t="inlineStr">
        <is>
          <t>Descripcion</t>
        </is>
      </c>
      <c r="C3" s="2" t="inlineStr">
        <is>
          <t>Cargo</t>
        </is>
      </c>
      <c r="D3" s="2" t="inlineStr">
        <is>
          <t>Abono</t>
        </is>
      </c>
      <c r="E3" s="2" t="inlineStr">
        <is>
          <t>Casa</t>
        </is>
      </c>
      <c r="F3" s="2" t="inlineStr">
        <is>
          <t>Observacion</t>
        </is>
      </c>
    </row>
    <row r="4">
      <c r="A4" s="3" t="n">
        <v>45294</v>
      </c>
      <c r="B4" t="inlineStr">
        <is>
          <t>Transf. Jean Paul Jouannet (0153657858)</t>
        </is>
      </c>
      <c r="D4" s="4" t="n">
        <v>170003</v>
      </c>
      <c r="E4" t="n">
        <v>3</v>
      </c>
      <c r="F4" t="inlineStr">
        <is>
          <t>Paga 01/2024</t>
        </is>
      </c>
    </row>
    <row r="5">
      <c r="A5" s="3" t="n">
        <v>45324</v>
      </c>
      <c r="B5" t="inlineStr">
        <is>
          <t>Transf. Jean Paul Jouannet Bayo (0153657858)</t>
        </is>
      </c>
      <c r="D5" s="4" t="n">
        <v>170003</v>
      </c>
      <c r="E5" t="n">
        <v>3</v>
      </c>
      <c r="F5" t="inlineStr">
        <is>
          <t>Paga 02/2024</t>
        </is>
      </c>
    </row>
    <row r="6">
      <c r="A6" s="3" t="n">
        <v>45331</v>
      </c>
      <c r="B6" t="inlineStr">
        <is>
          <t>Transf. Jean Paul Jouannet Bayo (0153657858)</t>
        </is>
      </c>
      <c r="D6" s="4" t="n">
        <v>12000</v>
      </c>
      <c r="E6" t="n">
        <v>3</v>
      </c>
      <c r="F6" t="inlineStr">
        <is>
          <t>TAG</t>
        </is>
      </c>
    </row>
    <row r="7">
      <c r="A7" s="3" t="n">
        <v>45352</v>
      </c>
      <c r="B7" t="inlineStr">
        <is>
          <t>Transf. Jean Paul Jouannet (0153657858)</t>
        </is>
      </c>
      <c r="D7" s="4" t="n">
        <v>170003</v>
      </c>
      <c r="E7" t="n">
        <v>3</v>
      </c>
      <c r="F7" t="inlineStr">
        <is>
          <t>Paga 03/2024</t>
        </is>
      </c>
    </row>
    <row r="8">
      <c r="A8" s="3" t="n">
        <v>45384</v>
      </c>
      <c r="B8" t="inlineStr">
        <is>
          <t>Transf. Jean Paul Jouannet Bayo (0153657858)</t>
        </is>
      </c>
      <c r="D8" s="4" t="n">
        <v>170003</v>
      </c>
      <c r="E8" t="n">
        <v>3</v>
      </c>
      <c r="F8" t="inlineStr">
        <is>
          <t>Paga 04/2024</t>
        </is>
      </c>
    </row>
    <row r="9">
      <c r="A9" s="3" t="n">
        <v>45443</v>
      </c>
      <c r="B9" t="inlineStr">
        <is>
          <t>Transf. Jean Paul Jouannet (0153657858)</t>
        </is>
      </c>
      <c r="D9" s="4" t="n">
        <v>170003</v>
      </c>
      <c r="E9" t="n">
        <v>3</v>
      </c>
      <c r="F9" t="inlineStr">
        <is>
          <t>Paga 05/2024</t>
        </is>
      </c>
    </row>
    <row r="10">
      <c r="A10" s="3" t="n">
        <v>45474</v>
      </c>
      <c r="B10" t="inlineStr">
        <is>
          <t>Transf. Jean Paul Jouannet Bayo (0153657858)</t>
        </is>
      </c>
      <c r="D10" s="4" t="n">
        <v>170003</v>
      </c>
      <c r="E10" t="n">
        <v>3</v>
      </c>
      <c r="F10" t="inlineStr">
        <is>
          <t>Paga 06/2024</t>
        </is>
      </c>
    </row>
    <row r="11">
      <c r="A11" s="3" t="n">
        <v>45509</v>
      </c>
      <c r="B11" t="inlineStr">
        <is>
          <t>Transf. Jean Paul Jouannet (0153657858)</t>
        </is>
      </c>
      <c r="D11" s="4" t="n">
        <v>200003</v>
      </c>
      <c r="E11" t="n">
        <v>3</v>
      </c>
      <c r="F11" t="inlineStr">
        <is>
          <t>Paga 07/2024</t>
        </is>
      </c>
    </row>
    <row r="12">
      <c r="A12" s="3" t="n">
        <v>45538</v>
      </c>
      <c r="B12" t="inlineStr">
        <is>
          <t>Transf. Jean Paul Jouannet Bayo (0153657858)</t>
        </is>
      </c>
      <c r="D12" s="4" t="n">
        <v>200003</v>
      </c>
      <c r="E12" t="n">
        <v>3</v>
      </c>
      <c r="F12" t="inlineStr">
        <is>
          <t>Paga 08/2024</t>
        </is>
      </c>
    </row>
    <row r="13">
      <c r="A13" s="3" t="n">
        <v>45567</v>
      </c>
      <c r="B13" t="inlineStr">
        <is>
          <t>Transf. Jean Paul Jouannet Bayo (0153657858)</t>
        </is>
      </c>
      <c r="D13" s="4" t="n">
        <v>200003</v>
      </c>
      <c r="E13" t="n">
        <v>3</v>
      </c>
      <c r="F13" t="inlineStr">
        <is>
          <t>Paga 09/2024</t>
        </is>
      </c>
    </row>
    <row r="14">
      <c r="A14" s="3" t="n">
        <v>45600</v>
      </c>
      <c r="B14" t="inlineStr">
        <is>
          <t>Transf. Jean Paul Jouannet Bayo (0153657858)</t>
        </is>
      </c>
      <c r="D14" s="4" t="n">
        <v>200003</v>
      </c>
      <c r="E14" t="n">
        <v>3</v>
      </c>
      <c r="F14" t="inlineStr">
        <is>
          <t>Paga 10/2024</t>
        </is>
      </c>
    </row>
    <row r="15">
      <c r="A15" s="3" t="n">
        <v>45632</v>
      </c>
      <c r="B15" t="inlineStr">
        <is>
          <t>Transf. Jean Paul Jouannet Bayo (0153657858)</t>
        </is>
      </c>
      <c r="D15" s="4" t="n">
        <v>200003</v>
      </c>
      <c r="E15" t="n">
        <v>3</v>
      </c>
      <c r="F15" t="inlineStr">
        <is>
          <t>Paga 11/2024</t>
        </is>
      </c>
    </row>
    <row r="16">
      <c r="A16" s="3" t="n">
        <v>45659</v>
      </c>
      <c r="B16" t="inlineStr">
        <is>
          <t>Transf. Jean Paul Jouannet Bayo (0153657858)</t>
        </is>
      </c>
      <c r="D16" s="4" t="n">
        <v>200003</v>
      </c>
      <c r="E16" t="n">
        <v>3</v>
      </c>
      <c r="F16" t="inlineStr">
        <is>
          <t>Paga 12/2024</t>
        </is>
      </c>
    </row>
    <row r="17">
      <c r="A17" s="3" t="n">
        <v>45691</v>
      </c>
      <c r="B17" t="inlineStr">
        <is>
          <t>Transf. Jean Paul Jouannet (0153657858)</t>
        </is>
      </c>
      <c r="D17" s="4" t="n">
        <v>200003</v>
      </c>
      <c r="E17" t="n">
        <v>3</v>
      </c>
      <c r="F17" t="inlineStr">
        <is>
          <t>Paga 01/2025</t>
        </is>
      </c>
    </row>
    <row r="18">
      <c r="A18" s="3" t="n">
        <v>45720</v>
      </c>
      <c r="B18" t="inlineStr">
        <is>
          <t>Transf. Jean Paul Jouannet Bayo (0153657858)</t>
        </is>
      </c>
      <c r="D18" s="4" t="n">
        <v>200003</v>
      </c>
      <c r="E18" t="n">
        <v>3</v>
      </c>
      <c r="F18" t="inlineStr">
        <is>
          <t>Paga 02/2025</t>
        </is>
      </c>
    </row>
    <row r="19">
      <c r="A19" s="3" t="n">
        <v>45750</v>
      </c>
      <c r="B19" t="inlineStr">
        <is>
          <t>Transf. Jean Paul Jouannet Bayo (0153657858)</t>
        </is>
      </c>
      <c r="D19" s="4" t="n">
        <v>200003</v>
      </c>
      <c r="E19" t="n">
        <v>3</v>
      </c>
      <c r="F19" t="inlineStr">
        <is>
          <t>Paga 03/2025</t>
        </is>
      </c>
    </row>
    <row r="20">
      <c r="A20" s="3" t="n">
        <v>45779</v>
      </c>
      <c r="B20" t="inlineStr">
        <is>
          <t>Transf. Jean Paul Jouannet Bayo (0153657858)</t>
        </is>
      </c>
      <c r="D20" s="4" t="n">
        <v>200003</v>
      </c>
      <c r="E20" t="n">
        <v>3</v>
      </c>
      <c r="F20" t="inlineStr">
        <is>
          <t>Paga 04/2025</t>
        </is>
      </c>
    </row>
    <row r="21">
      <c r="A21" s="3" t="n">
        <v>45793</v>
      </c>
      <c r="B21" t="inlineStr">
        <is>
          <t>Transf. Jean Paul Jouannet Bayo (0153657858)</t>
        </is>
      </c>
      <c r="D21" s="4" t="n">
        <v>10000</v>
      </c>
      <c r="E21" t="n">
        <v>3</v>
      </c>
      <c r="F21" t="inlineStr">
        <is>
          <t>TAG</t>
        </is>
      </c>
    </row>
    <row r="22">
      <c r="A22" s="3" t="n">
        <v>45810</v>
      </c>
      <c r="B22" t="inlineStr">
        <is>
          <t>Transf. Jean Paul Jouannet Bayo (0153657858)</t>
        </is>
      </c>
      <c r="D22" s="4" t="n">
        <v>200003</v>
      </c>
      <c r="E22" t="n">
        <v>3</v>
      </c>
      <c r="F22" t="inlineStr">
        <is>
          <t>Paga 05/2025</t>
        </is>
      </c>
    </row>
    <row r="23">
      <c r="A23" s="3" t="n">
        <v>45841</v>
      </c>
      <c r="B23" t="inlineStr">
        <is>
          <t>Transf. Jean Paul Jouannet Bayo (0153657858)</t>
        </is>
      </c>
      <c r="D23" s="4" t="n">
        <v>200003</v>
      </c>
      <c r="E23" t="n">
        <v>3</v>
      </c>
      <c r="F23" t="inlineStr">
        <is>
          <t>Paga 06/2025</t>
        </is>
      </c>
    </row>
    <row r="24">
      <c r="A24" s="3" t="n">
        <v>45873</v>
      </c>
      <c r="B24" t="inlineStr">
        <is>
          <t>Transf. Jean Paul Jouannet Bayo (0153657858)</t>
        </is>
      </c>
      <c r="D24" s="4" t="n">
        <v>200003</v>
      </c>
      <c r="E24" t="n">
        <v>3</v>
      </c>
      <c r="F24" t="inlineStr">
        <is>
          <t>Paga 07/2025</t>
        </is>
      </c>
    </row>
    <row r="25">
      <c r="A25" s="3" t="n">
        <v>46028</v>
      </c>
      <c r="B25" t="inlineStr">
        <is>
          <t>Transf. Jean Paul Jouannet Bayo (0153657858)</t>
        </is>
      </c>
      <c r="D25" s="4" t="n">
        <v>200003</v>
      </c>
      <c r="E25" t="n">
        <v>3</v>
      </c>
      <c r="F25" t="inlineStr">
        <is>
          <t>Paga 12/2025</t>
        </is>
      </c>
    </row>
    <row r="26">
      <c r="A26" s="3" t="n">
        <v>46059</v>
      </c>
      <c r="B26" t="inlineStr">
        <is>
          <t>Transf. Jean Paul Jouannet Bayo (0153657858)</t>
        </is>
      </c>
      <c r="D26" s="4" t="n">
        <v>200003</v>
      </c>
      <c r="E26" t="n">
        <v>3</v>
      </c>
      <c r="F26" t="inlineStr">
        <is>
          <t>Paga 01/2026</t>
        </is>
      </c>
    </row>
    <row r="27">
      <c r="A27" s="3" t="n">
        <v>46084</v>
      </c>
      <c r="B27" t="inlineStr">
        <is>
          <t>Transf. María Francisca Espino… (0155514515)</t>
        </is>
      </c>
      <c r="D27" s="4" t="n">
        <v>200000</v>
      </c>
      <c r="E27" t="n">
        <v>3</v>
      </c>
      <c r="F27" t="inlineStr">
        <is>
          <t>Paga 02/2026</t>
        </is>
      </c>
    </row>
    <row r="28">
      <c r="A28" s="3" t="n">
        <v>46113</v>
      </c>
      <c r="B28" t="inlineStr">
        <is>
          <t>Transf. María Francisca Espino… (0155514515)</t>
        </is>
      </c>
      <c r="D28" s="4" t="n">
        <v>200000</v>
      </c>
      <c r="E28" t="n">
        <v>3</v>
      </c>
      <c r="F28" t="inlineStr">
        <is>
          <t>Paga 03/2026</t>
        </is>
      </c>
    </row>
    <row r="29">
      <c r="A29" s="3" t="n">
        <v>46157</v>
      </c>
      <c r="B29" t="inlineStr">
        <is>
          <t>Transf. María Francisca Espino… (0155514515)</t>
        </is>
      </c>
      <c r="D29" s="4" t="n">
        <v>200000</v>
      </c>
      <c r="E29" t="n">
        <v>3</v>
      </c>
      <c r="F29" t="inlineStr">
        <is>
          <t>Paga 04/2026</t>
        </is>
      </c>
    </row>
    <row r="30">
      <c r="A30" s="3" t="n">
        <v>46178</v>
      </c>
      <c r="B30" t="inlineStr">
        <is>
          <t>Transf. María Francisca Espino… (0155514515)</t>
        </is>
      </c>
      <c r="D30" s="4" t="n">
        <v>200003</v>
      </c>
      <c r="E30" t="n">
        <v>3</v>
      </c>
      <c r="F30" t="inlineStr">
        <is>
          <t>Paga 05/2026</t>
        </is>
      </c>
    </row>
    <row r="31">
      <c r="A31" s="3" t="n">
        <v>46234</v>
      </c>
      <c r="B31" t="inlineStr">
        <is>
          <t>Transf. María Francisca Espino… (0155514515)</t>
        </is>
      </c>
      <c r="D31" s="4" t="n">
        <v>200003</v>
      </c>
      <c r="E31" t="n">
        <v>3</v>
      </c>
      <c r="F31" t="inlineStr">
        <is>
          <t>Paga 06/2026</t>
        </is>
      </c>
    </row>
    <row r="32">
      <c r="A32" s="3" t="n">
        <v>46265</v>
      </c>
      <c r="B32" t="inlineStr">
        <is>
          <t>Transf. María Francisca Espino… (0155514515)</t>
        </is>
      </c>
      <c r="D32" s="4" t="n">
        <v>200003</v>
      </c>
      <c r="E32" t="n">
        <v>3</v>
      </c>
      <c r="F32" t="inlineStr">
        <is>
          <t>Paga 07/2026</t>
        </is>
      </c>
    </row>
    <row r="34">
      <c r="A34" s="5" t="inlineStr">
        <is>
          <t>Total abonado</t>
        </is>
      </c>
      <c r="D34" s="6">
        <f>SUM(D4:D32)</f>
        <v/>
      </c>
    </row>
    <row r="35">
      <c r="A35" t="inlineStr">
        <is>
          <t xml:space="preserve">  de ello Cuotas</t>
        </is>
      </c>
      <c r="D35" s="4">
        <f>SUMIF(F4:F32,"Paga*",D4:D32)</f>
        <v/>
      </c>
    </row>
    <row r="36">
      <c r="A36" t="inlineStr">
        <is>
          <t xml:space="preserve">  de ello TAG</t>
        </is>
      </c>
      <c r="D36" s="4">
        <f>SUMIF(F4:F32,"TAG",D4:D32)</f>
        <v/>
      </c>
    </row>
    <row r="38">
      <c r="A38" t="inlineStr">
        <is>
          <t>Nota: el abono del 08-09-2025 ($200.003, cuenta 0153657858) no tiene casa asignada en la cartola y NO está incluido. La cartola 2025 disponible termina el 15-09-2025.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2026-10-06T16:53:29Z</dcterms:created>
  <dcterms:modified xmlns:dcterms="http://purl.org/dc/terms/" xmlns:xsi="http://www.w3.org/2001/XMLSchema-instance" xsi:type="dcterms:W3CDTF">2026-10-06T16:53:29Z</dcterms:modified>
</cp:coreProperties>
</file>